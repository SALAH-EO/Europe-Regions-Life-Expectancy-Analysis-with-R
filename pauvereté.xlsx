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8340" tabRatio="500"/>
  </bookViews>
  <sheets>
    <sheet name="Figure 1" sheetId="1" r:id="rId1"/>
    <sheet name="Figure 2" sheetId="2" r:id="rId2"/>
    <sheet name="Figure 3" sheetId="3" r:id="rId3"/>
    <sheet name="Figure 4" sheetId="4" r:id="rId4"/>
    <sheet name="Documentation" sheetId="5" r:id="rId5"/>
  </sheets>
  <calcPr calcId="152511"/>
  <extLst>
    <ext xmlns:loext="http://schemas.libreoffice.org/" uri="{7626C862-2A13-11E5-B345-FEFF819CDC9F}">
      <loext:extCalcPr stringRefSyntax="CalcA1ExcelA1"/>
    </ext>
  </extLst>
</workbook>
</file>

<file path=xl/calcChain.xml><?xml version="1.0" encoding="utf-8"?>
<calcChain xmlns="http://schemas.openxmlformats.org/spreadsheetml/2006/main">
  <c r="D12" i="1" l="1"/>
  <c r="D11" i="1"/>
  <c r="D10" i="1"/>
  <c r="D9" i="1"/>
  <c r="D8" i="1"/>
  <c r="D7" i="1"/>
  <c r="D6" i="1"/>
  <c r="D5" i="1"/>
  <c r="D4" i="1"/>
  <c r="D3" i="1"/>
  <c r="D2" i="1"/>
</calcChain>
</file>

<file path=xl/sharedStrings.xml><?xml version="1.0" encoding="utf-8"?>
<sst xmlns="http://schemas.openxmlformats.org/spreadsheetml/2006/main" count="141" uniqueCount="135">
  <si>
    <t>en %</t>
  </si>
  <si>
    <t>Sous le seuil de pauvreté (1)</t>
  </si>
  <si>
    <t>Dans le halo de la pauvreté (2)</t>
  </si>
  <si>
    <t>En situation de pauvreté (1+2)</t>
  </si>
  <si>
    <t>Paris</t>
  </si>
  <si>
    <t>Hauts-de-Seine</t>
  </si>
  <si>
    <t>Seine-Saint-Denis</t>
  </si>
  <si>
    <t>Val-de-Marne</t>
  </si>
  <si>
    <t>Petite couronne</t>
  </si>
  <si>
    <t>Seine-et-Marne</t>
  </si>
  <si>
    <t>Yvelines</t>
  </si>
  <si>
    <t>Essonne</t>
  </si>
  <si>
    <t>Val-d'Oise</t>
  </si>
  <si>
    <t>Grande couronne</t>
  </si>
  <si>
    <t>Île-de-France</t>
  </si>
  <si>
    <t>Source : Insee, Filosofi 2018.</t>
  </si>
  <si>
    <t>Figure 2 : Proportion de personnes en situation de pauvreté par EPCI et EPT franciliens en 2018</t>
  </si>
  <si>
    <t>Libellé EPCI et EPT</t>
  </si>
  <si>
    <t>Selon le seuil national</t>
  </si>
  <si>
    <t>Selon le seuil national + le halo de la pauvreté</t>
  </si>
  <si>
    <t>CA Étampois Sud-Essonne</t>
  </si>
  <si>
    <t>CC Les Portes Briardes entre Villes et Forêts</t>
  </si>
  <si>
    <t>CC Pays de Nemours</t>
  </si>
  <si>
    <t>CC Gâtinais Val de Loing</t>
  </si>
  <si>
    <t>CC Plaines et Monts de France</t>
  </si>
  <si>
    <t>CC de la Haute Vallée de Chevreuse</t>
  </si>
  <si>
    <t>CC Gally Mauldre</t>
  </si>
  <si>
    <t>CC Vexin Centre</t>
  </si>
  <si>
    <t>CC du Provinois</t>
  </si>
  <si>
    <t>CC Bassée-Montois</t>
  </si>
  <si>
    <t>CA Roissy Pays de France</t>
  </si>
  <si>
    <t>CA Communauté Paris-Saclay</t>
  </si>
  <si>
    <t>CA Plaine Vallée</t>
  </si>
  <si>
    <t>CA Coeur d'Essonne Agglomération</t>
  </si>
  <si>
    <t>CA Paris - Vallée de la Marne</t>
  </si>
  <si>
    <t>CA Val d'Yerres Val de Seine</t>
  </si>
  <si>
    <t>CA Val Parisis</t>
  </si>
  <si>
    <t>CA Saint-Germain Boucles de Seine</t>
  </si>
  <si>
    <t>CA de Saint-Quentin-en-Yvelines</t>
  </si>
  <si>
    <t>CA Grand Paris Sud Seine Essonne Sénart</t>
  </si>
  <si>
    <t>CU Grand Paris Seine et Oise</t>
  </si>
  <si>
    <t>CC Brie des Rivières et Châteaux</t>
  </si>
  <si>
    <t>CC Les Portes de l'Ile de France</t>
  </si>
  <si>
    <t>CA du Pays de Meaux</t>
  </si>
  <si>
    <t>CA du Pays de Fontainebleau</t>
  </si>
  <si>
    <t>CC des Deux Morin</t>
  </si>
  <si>
    <t>CC Val Briard</t>
  </si>
  <si>
    <t>CC Carnelle Pays-De-France</t>
  </si>
  <si>
    <t>CA Rambouillet Territoires</t>
  </si>
  <si>
    <t>CA Coulommiers Pays de Brie</t>
  </si>
  <si>
    <t>CC Moret Seine et Loing</t>
  </si>
  <si>
    <t>CA Melun Val de Seine</t>
  </si>
  <si>
    <t>CC du Pays de l'Ourcq</t>
  </si>
  <si>
    <t>CC Pays de Montereau</t>
  </si>
  <si>
    <t>CA Val d'Europe Agglomération</t>
  </si>
  <si>
    <t>CA Marne et Gondoire</t>
  </si>
  <si>
    <t>CC l'Orée de la Brie</t>
  </si>
  <si>
    <t>CC Brie Nangissienne</t>
  </si>
  <si>
    <t>CC du Pays Houdanais (partie francilienne)</t>
  </si>
  <si>
    <t>CA Versailles Grand Parc</t>
  </si>
  <si>
    <t>CC Cœur d'Yvelines</t>
  </si>
  <si>
    <t>CC du Pays de Limours</t>
  </si>
  <si>
    <t>CC des Deux Vallées</t>
  </si>
  <si>
    <t>CC du Val d'Essonne</t>
  </si>
  <si>
    <t>CC Entre Juine et Renarde</t>
  </si>
  <si>
    <t>CC Le Dourdannais en Hurepoix</t>
  </si>
  <si>
    <t>CA de Cergy-Pontoise</t>
  </si>
  <si>
    <t>CC Sausseron Impressionnistes</t>
  </si>
  <si>
    <t>CC de la Vallée de l'Oise et des Trois Forêts</t>
  </si>
  <si>
    <t>CC du Haut Val d'Oise</t>
  </si>
  <si>
    <t>CC du Vexin-Val de Seine</t>
  </si>
  <si>
    <t>T1- Ville de Paris</t>
  </si>
  <si>
    <t>T2- Vallée Sud Grand Paris</t>
  </si>
  <si>
    <t>T3- Grand Paris Seine Ouest</t>
  </si>
  <si>
    <t>T4- Paris Ouest La Défense</t>
  </si>
  <si>
    <t>T5- Boucle Nord de Seine</t>
  </si>
  <si>
    <t>T6- Plaine Commune</t>
  </si>
  <si>
    <t>T7- Paris Terres d’Envol</t>
  </si>
  <si>
    <t>T8- Est Ensemble</t>
  </si>
  <si>
    <t>T9- Grand Paris Grand Est</t>
  </si>
  <si>
    <t>T10- Paris Est Marne &amp; Bois</t>
  </si>
  <si>
    <t>T11- Grand Paris Sud Est Avenir</t>
  </si>
  <si>
    <t>T12- Grand-Orly Seine Bièvre</t>
  </si>
  <si>
    <t>Lecture : 15,2 % des Parisiens vivent sous le seuil de pauvreté. Cette part atteint 18,4 % si l’on prend en compte toutes les situations de pauvreté (halo inclus).</t>
  </si>
  <si>
    <t>Figure 3 : Caractéristiques des personnes en situation de pauvreté en Île-de-France et en province en 2018</t>
  </si>
  <si>
    <t>Province</t>
  </si>
  <si>
    <t>Sous le seuil de pauvreté
(1)</t>
  </si>
  <si>
    <t>Dans le halo de la pauvreté
(2)</t>
  </si>
  <si>
    <t>Hors pauvreté et halo (3)</t>
  </si>
  <si>
    <t>Ensemble de la population (1+2+3)</t>
  </si>
  <si>
    <t>Sous le seuil de pauvreté (4)</t>
  </si>
  <si>
    <t>Hors pauvreté (5)</t>
  </si>
  <si>
    <t>Ensemble de la population (4+5)</t>
  </si>
  <si>
    <t>Type de ménage</t>
  </si>
  <si>
    <t>Personne seule</t>
  </si>
  <si>
    <t>Couple sans enfant</t>
  </si>
  <si>
    <t>Couple avec enfant(s)</t>
  </si>
  <si>
    <t>Famille monoparentale</t>
  </si>
  <si>
    <t>Ménage complexe</t>
  </si>
  <si>
    <t>Total</t>
  </si>
  <si>
    <t>Statut d’occupation du logement</t>
  </si>
  <si>
    <t>Propriétaire</t>
  </si>
  <si>
    <t>Locataire social</t>
  </si>
  <si>
    <t xml:space="preserve">Locataire privé </t>
  </si>
  <si>
    <t>Origine principale du revenu</t>
  </si>
  <si>
    <t>Salaires et traitements</t>
  </si>
  <si>
    <t>Indemnités de chômage</t>
  </si>
  <si>
    <t>Revenus des activités non salariées</t>
  </si>
  <si>
    <t>Pensions, retraites et rentes</t>
  </si>
  <si>
    <t>Autres revenus</t>
  </si>
  <si>
    <t>Revenus déclarés nuls</t>
  </si>
  <si>
    <t>Part des prestations sociales sur le niveau de vie</t>
  </si>
  <si>
    <t>Lecture : en Île-de-France, 19,3 % des personnes dans le halo de la pauvreté vivent dans une famille monoparentale.</t>
  </si>
  <si>
    <t>Figure 4 : Proportion de personnes en situation de pauvreté par âge en Île-de-France en 2018</t>
  </si>
  <si>
    <t>Sous le seuil de pauvreté</t>
  </si>
  <si>
    <t>Dans le halo de la pauvreté</t>
  </si>
  <si>
    <t>70 ans ou plus</t>
  </si>
  <si>
    <t>De 60 à 69 ans</t>
  </si>
  <si>
    <t>De 50 à 59 ans</t>
  </si>
  <si>
    <t>De 40 à 49 ans</t>
  </si>
  <si>
    <t>De 30 à 39 ans</t>
  </si>
  <si>
    <t>De 20 à 29 ans</t>
  </si>
  <si>
    <t xml:space="preserve">Moins de 20 ans </t>
  </si>
  <si>
    <t>Lecture : 14,9 % des personnes âgées de 40 à 49 ans sont sous le seuil de pauvreté et 3,8 % sont dans le halo.</t>
  </si>
  <si>
    <t>Source : Insee, Fidéli 2019.</t>
  </si>
  <si>
    <t>Sources</t>
  </si>
  <si>
    <r>
      <rPr>
        <sz val="10"/>
        <rFont val="Arial"/>
        <family val="2"/>
      </rPr>
      <t xml:space="preserve">L’étude porte principalement sur les données du </t>
    </r>
    <r>
      <rPr>
        <b/>
        <sz val="10"/>
        <rFont val="Arial"/>
        <family val="2"/>
      </rPr>
      <t>fichier localisé social et fiscal 2018 (Filosofi)</t>
    </r>
    <r>
      <rPr>
        <sz val="10"/>
        <rFont val="Arial"/>
        <family val="2"/>
      </rPr>
      <t>. Cette source est un rapprochement des données fiscales exhaustives en provenance de la Direction générale des Finances publiques (déclaration de revenus des personnes physiques, taxe d’habitation et fichier d’imposition des personnes physiques) et des données sur les prestations sociales émanant des organismes gestionnaires de ces prestations (Cnaf, Cnav, MSA). Ce rapprochement permet de reconstituer un revenu déclaré et un revenu disponible avec les prestations réellement perçues. L’étude n’inclut donc pas les personnes vivant en collectivité (centres d’hébergement…).</t>
    </r>
  </si>
  <si>
    <r>
      <rPr>
        <sz val="10"/>
        <rFont val="Arial"/>
        <family val="2"/>
      </rPr>
      <t xml:space="preserve">Les données issues du </t>
    </r>
    <r>
      <rPr>
        <b/>
        <sz val="10"/>
        <rFont val="Arial"/>
        <family val="2"/>
      </rPr>
      <t xml:space="preserve">fichier démographique sur les logements et les individus (Fidéli) </t>
    </r>
    <r>
      <rPr>
        <sz val="10"/>
        <rFont val="Arial"/>
        <family val="2"/>
      </rPr>
      <t>ont été utilisées pour l’analyse des âges et celles de l’</t>
    </r>
    <r>
      <rPr>
        <b/>
        <sz val="10"/>
        <rFont val="Arial"/>
        <family val="2"/>
      </rPr>
      <t xml:space="preserve">enquête « épidémiologie et conditions de vie » (EpiCov) </t>
    </r>
    <r>
      <rPr>
        <sz val="10"/>
        <rFont val="Arial"/>
        <family val="2"/>
      </rPr>
      <t>pour étudier l’effet du confinement.</t>
    </r>
  </si>
  <si>
    <t>Définitions</t>
  </si>
  <si>
    <r>
      <rPr>
        <sz val="10"/>
        <rFont val="Arial"/>
        <family val="2"/>
      </rPr>
      <t xml:space="preserve">Un individu (ou un ménage) est considéré comme pauvre lorsqu’il vit dans un ménage dont le niveau de vie est inférieur au </t>
    </r>
    <r>
      <rPr>
        <b/>
        <sz val="10"/>
        <rFont val="Arial"/>
        <family val="2"/>
      </rPr>
      <t>seuil de pauvreté</t>
    </r>
    <r>
      <rPr>
        <sz val="10"/>
        <rFont val="Arial"/>
        <family val="2"/>
      </rPr>
      <t>. En France et en Europe, le seuil est le plus souvent fixé à 60 % du niveau de vie médian. En 2018, le seuil de pauvreté est de 1 086 euros par mois pour une personne seule.</t>
    </r>
  </si>
  <si>
    <r>
      <rPr>
        <sz val="10"/>
        <rFont val="Arial"/>
        <family val="2"/>
      </rPr>
      <t xml:space="preserve">Le </t>
    </r>
    <r>
      <rPr>
        <b/>
        <sz val="10"/>
        <rFont val="Arial"/>
        <family val="2"/>
      </rPr>
      <t xml:space="preserve">niveau de vie </t>
    </r>
    <r>
      <rPr>
        <sz val="10"/>
        <rFont val="Arial"/>
        <family val="2"/>
      </rPr>
      <t>est égal au revenu disponible du ménage (c’est-à-dire après impôts et prestations sociales) divisé par le nombre d’unités de consommation (UC). Le niveau de vie est donc le même pour tous les individus d’un même ménage. Les unités de consommation sont généralement calculées selon l’échelle d’équivalence dite de l’OCDE modifiée qui attribue 1 UC au premier adulte du ménage, 0,5 UC aux autres personnes de 14 ans ou plus et 0,3 UC aux enfants de moins de 14 ans.</t>
    </r>
  </si>
  <si>
    <r>
      <rPr>
        <sz val="10"/>
        <rFont val="Arial"/>
        <family val="2"/>
      </rPr>
      <t xml:space="preserve">Les personnes dans le </t>
    </r>
    <r>
      <rPr>
        <b/>
        <sz val="10"/>
        <rFont val="Arial"/>
        <family val="2"/>
      </rPr>
      <t xml:space="preserve">halo de la pauvreté </t>
    </r>
    <r>
      <rPr>
        <sz val="10"/>
        <rFont val="Arial"/>
        <family val="2"/>
      </rPr>
      <t>sont au-dessus du seuil de pauvreté national mais sous le seuil de 60 % du niveau de vie médian régional, soit 1 193 euros par mois pour une personne seule en 2018. Cette approche du « halo » de la pauvreté ne revêt pas de caractère officiel et s’applique uniquement dans le cadre de cette étude. En effet, d’autres approches sont possibles, comme par exemple fixer un seuil à 70 % du revenu médian national.</t>
    </r>
  </si>
  <si>
    <r>
      <rPr>
        <sz val="10"/>
        <rFont val="Arial"/>
        <family val="2"/>
      </rPr>
      <t xml:space="preserve">Les </t>
    </r>
    <r>
      <rPr>
        <b/>
        <sz val="10"/>
        <rFont val="Arial"/>
        <family val="2"/>
      </rPr>
      <t xml:space="preserve">ménages complexes </t>
    </r>
    <r>
      <rPr>
        <sz val="10"/>
        <rFont val="Arial"/>
        <family val="2"/>
      </rPr>
      <t>sont des ménages au sein desquels cohabitent plusieurs générations, ainsi que les personnes vivant en colocation.</t>
    </r>
  </si>
  <si>
    <r>
      <rPr>
        <sz val="10"/>
        <rFont val="Arial"/>
        <family val="2"/>
      </rPr>
      <t xml:space="preserve">Les </t>
    </r>
    <r>
      <rPr>
        <b/>
        <sz val="10"/>
        <rFont val="Arial"/>
        <family val="2"/>
      </rPr>
      <t xml:space="preserve">prestations sociales </t>
    </r>
    <r>
      <rPr>
        <sz val="10"/>
        <rFont val="Arial"/>
        <family val="2"/>
      </rPr>
      <t>comprennent les prestations familiales, les minima sociaux et les aides au logement.</t>
    </r>
  </si>
  <si>
    <t>nom_dep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</si>
</sst>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4" x14ac:knownFonts="1">
    <font>
      <sz val="10"/>
      <name val="Arial"/>
      <family val="2"/>
    </font>
    <font>
      <b/>
      <sz val="10"/>
      <name val="Arial"/>
      <family val="2"/>
    </font>
    <font>
      <i/>
      <sz val="10"/>
      <name val="Arial"/>
      <family val="2"/>
    </font>
    <font>
      <sz val="10"/>
      <color rgb="FFC9211E"/>
      <name val="Arial"/>
      <family val="2"/>
    </font>
  </fonts>
  <fills count="2">
    <fill>
      <patternFill patternType="none"/>
    </fill>
    <fill>
      <patternFill patternType="gray125"/>
    </fill>
  </fills>
  <borders count="2">
    <border>
      <left/>
      <right/>
      <top/>
      <bottom/>
      <diagonal/>
    </border>
    <border>
      <left/>
      <right/>
      <top/>
      <bottom style="hair">
        <color auto="1"/>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0" xfId="0" applyFont="1" applyAlignment="1">
      <alignment vertical="center"/>
    </xf>
    <xf numFmtId="0" fontId="0" fillId="0" borderId="0" xfId="0" applyFont="1" applyAlignment="1">
      <alignment horizontal="right" vertical="center"/>
    </xf>
    <xf numFmtId="0" fontId="0" fillId="0" borderId="1"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Border="1" applyAlignment="1">
      <alignment horizontal="left" vertical="center" wrapText="1"/>
    </xf>
    <xf numFmtId="164" fontId="1" fillId="0" borderId="0" xfId="0" applyNumberFormat="1" applyFont="1" applyBorder="1" applyAlignment="1">
      <alignment horizontal="right" vertical="center"/>
    </xf>
    <xf numFmtId="0" fontId="0" fillId="0" borderId="0" xfId="0" applyFont="1" applyBorder="1" applyAlignment="1">
      <alignment horizontal="left" vertical="center" wrapText="1"/>
    </xf>
    <xf numFmtId="164" fontId="0" fillId="0" borderId="0" xfId="0" applyNumberFormat="1" applyFont="1" applyBorder="1" applyAlignment="1">
      <alignment horizontal="right" vertical="center"/>
    </xf>
    <xf numFmtId="0" fontId="1" fillId="0" borderId="1" xfId="0" applyFont="1" applyBorder="1" applyAlignment="1">
      <alignment horizontal="left" vertical="center" wrapText="1"/>
    </xf>
    <xf numFmtId="164" fontId="1" fillId="0" borderId="1" xfId="0" applyNumberFormat="1" applyFont="1" applyBorder="1" applyAlignment="1">
      <alignment horizontal="right" vertical="center"/>
    </xf>
    <xf numFmtId="0" fontId="0" fillId="0" borderId="0" xfId="0" applyFont="1" applyAlignment="1">
      <alignment vertical="center"/>
    </xf>
    <xf numFmtId="0" fontId="2" fillId="0" borderId="0" xfId="0" applyFont="1" applyAlignment="1">
      <alignment vertical="center"/>
    </xf>
    <xf numFmtId="0" fontId="0" fillId="0" borderId="0" xfId="0" applyFont="1"/>
    <xf numFmtId="0" fontId="1" fillId="0" borderId="0" xfId="0" applyFont="1" applyAlignment="1">
      <alignment vertical="center"/>
    </xf>
    <xf numFmtId="165" fontId="1" fillId="0" borderId="1" xfId="0" applyNumberFormat="1" applyFont="1" applyBorder="1" applyAlignment="1">
      <alignment horizontal="center" vertical="center" wrapText="1"/>
    </xf>
    <xf numFmtId="0" fontId="3" fillId="0" borderId="0" xfId="0" applyFont="1" applyAlignment="1">
      <alignment vertical="center"/>
    </xf>
    <xf numFmtId="0" fontId="0" fillId="0" borderId="0" xfId="0" applyFont="1" applyBorder="1" applyAlignment="1">
      <alignment vertical="center"/>
    </xf>
    <xf numFmtId="165" fontId="0" fillId="0" borderId="0" xfId="0" applyNumberFormat="1" applyFont="1" applyBorder="1" applyAlignment="1">
      <alignment vertical="center"/>
    </xf>
    <xf numFmtId="165" fontId="0" fillId="0" borderId="0" xfId="0" applyNumberFormat="1" applyFont="1" applyBorder="1" applyAlignment="1">
      <alignment vertical="center"/>
    </xf>
    <xf numFmtId="0" fontId="0" fillId="0" borderId="1" xfId="0" applyFont="1" applyBorder="1"/>
    <xf numFmtId="165" fontId="0" fillId="0" borderId="1" xfId="0" applyNumberFormat="1" applyFont="1" applyBorder="1" applyAlignment="1">
      <alignment vertical="center"/>
    </xf>
    <xf numFmtId="0" fontId="1" fillId="0" borderId="0" xfId="0" applyFont="1" applyAlignment="1">
      <alignment horizontal="left" vertical="center"/>
    </xf>
    <xf numFmtId="0" fontId="1" fillId="0" borderId="0" xfId="0" applyFont="1" applyBorder="1" applyAlignment="1">
      <alignment vertical="center"/>
    </xf>
    <xf numFmtId="0" fontId="0" fillId="0" borderId="0" xfId="0" applyFont="1" applyBorder="1" applyAlignment="1">
      <alignment horizontal="center" vertical="center"/>
    </xf>
    <xf numFmtId="0" fontId="1" fillId="0" borderId="0" xfId="0" applyFont="1" applyBorder="1" applyAlignment="1">
      <alignment horizontal="center" vertical="center" wrapText="1"/>
    </xf>
    <xf numFmtId="165" fontId="0" fillId="0" borderId="0" xfId="0" applyNumberFormat="1" applyFont="1" applyBorder="1" applyAlignment="1">
      <alignment horizontal="right" vertical="center"/>
    </xf>
    <xf numFmtId="165" fontId="1" fillId="0" borderId="0" xfId="0" applyNumberFormat="1" applyFont="1" applyBorder="1" applyAlignment="1">
      <alignment horizontal="right" vertical="center"/>
    </xf>
    <xf numFmtId="0" fontId="1" fillId="0" borderId="1" xfId="0" applyFont="1" applyBorder="1" applyAlignment="1">
      <alignment vertical="center"/>
    </xf>
    <xf numFmtId="165" fontId="1" fillId="0" borderId="1" xfId="0" applyNumberFormat="1" applyFont="1" applyBorder="1" applyAlignment="1">
      <alignment horizontal="right" vertical="center"/>
    </xf>
    <xf numFmtId="0" fontId="0" fillId="0" borderId="0" xfId="0" applyFont="1" applyBorder="1" applyAlignment="1">
      <alignment horizontal="right" vertical="center"/>
    </xf>
    <xf numFmtId="0" fontId="1" fillId="0" borderId="0" xfId="0" applyFont="1" applyBorder="1" applyAlignment="1">
      <alignment horizontal="right" vertical="center"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165" fontId="1" fillId="0" borderId="1" xfId="0" applyNumberFormat="1" applyFont="1" applyBorder="1" applyAlignment="1">
      <alignment horizontal="right" vertical="center" wrapText="1"/>
    </xf>
    <xf numFmtId="0" fontId="0" fillId="0" borderId="0" xfId="0" applyFont="1" applyBorder="1" applyAlignment="1">
      <alignment horizontal="left" vertical="center"/>
    </xf>
    <xf numFmtId="0" fontId="0" fillId="0" borderId="1" xfId="0" applyFont="1" applyBorder="1" applyAlignment="1">
      <alignment horizontal="left" vertical="center"/>
    </xf>
    <xf numFmtId="0" fontId="0" fillId="0" borderId="0" xfId="0" applyFont="1" applyAlignment="1">
      <alignment horizontal="left" vertical="center"/>
    </xf>
    <xf numFmtId="165" fontId="0" fillId="0" borderId="0" xfId="0" applyNumberFormat="1" applyFont="1" applyAlignment="1">
      <alignment vertical="center"/>
    </xf>
    <xf numFmtId="0" fontId="2" fillId="0" borderId="0" xfId="0" applyFont="1" applyAlignment="1">
      <alignment horizontal="left" vertical="center"/>
    </xf>
    <xf numFmtId="0" fontId="0"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tabSelected="1" zoomScaleNormal="100" workbookViewId="0">
      <selection sqref="A1:XFD1"/>
    </sheetView>
  </sheetViews>
  <sheetFormatPr baseColWidth="10" defaultColWidth="11.5703125" defaultRowHeight="12.75" x14ac:dyDescent="0.2"/>
  <cols>
    <col min="1" max="1" width="29.140625" style="3" customWidth="1"/>
    <col min="2" max="2" width="13.5703125" style="3" customWidth="1"/>
    <col min="3" max="3" width="15" style="3" customWidth="1"/>
    <col min="4" max="4" width="16.42578125" style="3" customWidth="1"/>
    <col min="5" max="1024" width="11.5703125" style="3"/>
  </cols>
  <sheetData>
    <row r="1" spans="1:4" ht="38.25" x14ac:dyDescent="0.2">
      <c r="A1" s="5" t="s">
        <v>134</v>
      </c>
      <c r="B1" s="6" t="s">
        <v>1</v>
      </c>
      <c r="C1" s="7" t="s">
        <v>2</v>
      </c>
      <c r="D1" s="6" t="s">
        <v>3</v>
      </c>
    </row>
    <row r="2" spans="1:4" x14ac:dyDescent="0.2">
      <c r="A2" s="8" t="s">
        <v>4</v>
      </c>
      <c r="B2" s="9">
        <v>15.2</v>
      </c>
      <c r="C2" s="9">
        <v>3.2</v>
      </c>
      <c r="D2" s="9">
        <f t="shared" ref="D2:D12" si="0">B2+C2</f>
        <v>18.399999999999999</v>
      </c>
    </row>
    <row r="3" spans="1:4" x14ac:dyDescent="0.2">
      <c r="A3" s="10" t="s">
        <v>5</v>
      </c>
      <c r="B3" s="11">
        <v>11.9</v>
      </c>
      <c r="C3" s="11">
        <v>3.1</v>
      </c>
      <c r="D3" s="11">
        <f t="shared" si="0"/>
        <v>15</v>
      </c>
    </row>
    <row r="4" spans="1:4" x14ac:dyDescent="0.2">
      <c r="A4" s="10" t="s">
        <v>6</v>
      </c>
      <c r="B4" s="11">
        <v>28.4</v>
      </c>
      <c r="C4" s="11">
        <v>6.2</v>
      </c>
      <c r="D4" s="11">
        <f t="shared" si="0"/>
        <v>34.6</v>
      </c>
    </row>
    <row r="5" spans="1:4" x14ac:dyDescent="0.2">
      <c r="A5" s="10" t="s">
        <v>7</v>
      </c>
      <c r="B5" s="11">
        <v>16.600000000000001</v>
      </c>
      <c r="C5" s="11">
        <v>4.2</v>
      </c>
      <c r="D5" s="11">
        <f t="shared" si="0"/>
        <v>20.8</v>
      </c>
    </row>
    <row r="6" spans="1:4" x14ac:dyDescent="0.2">
      <c r="A6" s="8" t="s">
        <v>8</v>
      </c>
      <c r="B6" s="9">
        <v>19.100000000000001</v>
      </c>
      <c r="C6" s="9">
        <v>4.5</v>
      </c>
      <c r="D6" s="9">
        <f t="shared" si="0"/>
        <v>23.6</v>
      </c>
    </row>
    <row r="7" spans="1:4" x14ac:dyDescent="0.2">
      <c r="A7" s="10" t="s">
        <v>9</v>
      </c>
      <c r="B7" s="11">
        <v>11.8</v>
      </c>
      <c r="C7" s="11">
        <v>3.6</v>
      </c>
      <c r="D7" s="11">
        <f t="shared" si="0"/>
        <v>15.4</v>
      </c>
    </row>
    <row r="8" spans="1:4" x14ac:dyDescent="0.2">
      <c r="A8" s="10" t="s">
        <v>10</v>
      </c>
      <c r="B8" s="11">
        <v>9.6999999999999993</v>
      </c>
      <c r="C8" s="11">
        <v>3</v>
      </c>
      <c r="D8" s="11">
        <f t="shared" si="0"/>
        <v>12.7</v>
      </c>
    </row>
    <row r="9" spans="1:4" x14ac:dyDescent="0.2">
      <c r="A9" s="10" t="s">
        <v>11</v>
      </c>
      <c r="B9" s="11">
        <v>13.1</v>
      </c>
      <c r="C9" s="11">
        <v>3.7</v>
      </c>
      <c r="D9" s="11">
        <f t="shared" si="0"/>
        <v>16.8</v>
      </c>
    </row>
    <row r="10" spans="1:4" x14ac:dyDescent="0.2">
      <c r="A10" s="10" t="s">
        <v>12</v>
      </c>
      <c r="B10" s="11">
        <v>17.2</v>
      </c>
      <c r="C10" s="11">
        <v>4.5</v>
      </c>
      <c r="D10" s="11">
        <f t="shared" si="0"/>
        <v>21.7</v>
      </c>
    </row>
    <row r="11" spans="1:4" x14ac:dyDescent="0.2">
      <c r="A11" s="8" t="s">
        <v>13</v>
      </c>
      <c r="B11" s="9">
        <v>12.8</v>
      </c>
      <c r="C11" s="9">
        <v>3.7</v>
      </c>
      <c r="D11" s="9">
        <f t="shared" si="0"/>
        <v>16.5</v>
      </c>
    </row>
    <row r="12" spans="1:4" x14ac:dyDescent="0.2">
      <c r="A12" s="12" t="s">
        <v>14</v>
      </c>
      <c r="B12" s="13">
        <v>15.6</v>
      </c>
      <c r="C12" s="13">
        <v>3.9</v>
      </c>
      <c r="D12" s="13">
        <f t="shared" si="0"/>
        <v>19.5</v>
      </c>
    </row>
    <row r="13" spans="1:4" x14ac:dyDescent="0.2">
      <c r="A13" s="14"/>
    </row>
    <row r="14" spans="1:4" x14ac:dyDescent="0.2">
      <c r="A14" s="15"/>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68"/>
  <sheetViews>
    <sheetView zoomScaleNormal="100" workbookViewId="0"/>
  </sheetViews>
  <sheetFormatPr baseColWidth="10" defaultColWidth="11.5703125" defaultRowHeight="12.75" x14ac:dyDescent="0.2"/>
  <cols>
    <col min="1" max="1" width="38.42578125" style="3" customWidth="1"/>
    <col min="2" max="3" width="15.42578125" style="3" customWidth="1"/>
    <col min="4" max="4" width="15.140625" style="3" customWidth="1"/>
    <col min="5" max="1018" width="11.5703125" style="3"/>
    <col min="1019" max="1024" width="11.5703125" style="16"/>
  </cols>
  <sheetData>
    <row r="1" spans="1:6" ht="13.9" customHeight="1" x14ac:dyDescent="0.2">
      <c r="A1" s="17" t="s">
        <v>16</v>
      </c>
    </row>
    <row r="2" spans="1:6" ht="13.9" customHeight="1" x14ac:dyDescent="0.2">
      <c r="C2" s="4" t="s">
        <v>0</v>
      </c>
      <c r="D2" s="16"/>
    </row>
    <row r="3" spans="1:6" ht="51" x14ac:dyDescent="0.2">
      <c r="A3" s="7" t="s">
        <v>17</v>
      </c>
      <c r="B3" s="18" t="s">
        <v>18</v>
      </c>
      <c r="C3" s="18" t="s">
        <v>19</v>
      </c>
      <c r="D3" s="16"/>
      <c r="E3" s="19"/>
    </row>
    <row r="4" spans="1:6" ht="13.9" customHeight="1" x14ac:dyDescent="0.2">
      <c r="A4" s="20" t="s">
        <v>20</v>
      </c>
      <c r="B4" s="21">
        <v>12.7</v>
      </c>
      <c r="C4" s="20">
        <v>16.8</v>
      </c>
      <c r="D4" s="16"/>
      <c r="E4" s="19"/>
    </row>
    <row r="5" spans="1:6" ht="13.9" customHeight="1" x14ac:dyDescent="0.2">
      <c r="A5" s="20" t="s">
        <v>21</v>
      </c>
      <c r="B5" s="21">
        <v>8.4</v>
      </c>
      <c r="C5" s="20">
        <v>11.2</v>
      </c>
      <c r="D5" s="16"/>
      <c r="E5" s="19"/>
    </row>
    <row r="6" spans="1:6" ht="13.9" customHeight="1" x14ac:dyDescent="0.2">
      <c r="A6" s="20" t="s">
        <v>22</v>
      </c>
      <c r="B6" s="21">
        <v>13.9</v>
      </c>
      <c r="C6" s="20">
        <v>17.899999999999999</v>
      </c>
      <c r="D6" s="16"/>
    </row>
    <row r="7" spans="1:6" ht="13.9" customHeight="1" x14ac:dyDescent="0.2">
      <c r="A7" s="20" t="s">
        <v>23</v>
      </c>
      <c r="B7" s="21">
        <v>12.9</v>
      </c>
      <c r="C7" s="20">
        <v>17.3</v>
      </c>
      <c r="D7" s="16"/>
    </row>
    <row r="8" spans="1:6" ht="13.9" customHeight="1" x14ac:dyDescent="0.2">
      <c r="A8" s="20" t="s">
        <v>24</v>
      </c>
      <c r="B8" s="21">
        <v>4.5999999999999996</v>
      </c>
      <c r="C8" s="20">
        <v>6.2</v>
      </c>
      <c r="D8" s="16"/>
    </row>
    <row r="9" spans="1:6" ht="13.9" customHeight="1" x14ac:dyDescent="0.2">
      <c r="A9" s="20" t="s">
        <v>25</v>
      </c>
      <c r="B9" s="21">
        <v>3.5</v>
      </c>
      <c r="C9" s="20">
        <v>4.9000000000000004</v>
      </c>
      <c r="D9" s="16"/>
    </row>
    <row r="10" spans="1:6" ht="13.9" customHeight="1" x14ac:dyDescent="0.2">
      <c r="A10" s="20" t="s">
        <v>26</v>
      </c>
      <c r="B10" s="21">
        <v>3.9</v>
      </c>
      <c r="C10" s="20">
        <v>5.0999999999999996</v>
      </c>
      <c r="D10" s="16"/>
    </row>
    <row r="11" spans="1:6" ht="13.9" customHeight="1" x14ac:dyDescent="0.2">
      <c r="A11" s="20" t="s">
        <v>27</v>
      </c>
      <c r="B11" s="21">
        <v>5.0999999999999996</v>
      </c>
      <c r="C11" s="20">
        <v>6.8</v>
      </c>
      <c r="D11" s="16"/>
      <c r="F11" s="16"/>
    </row>
    <row r="12" spans="1:6" ht="13.9" customHeight="1" x14ac:dyDescent="0.2">
      <c r="A12" s="20" t="s">
        <v>28</v>
      </c>
      <c r="B12" s="21">
        <v>14.8</v>
      </c>
      <c r="C12" s="20">
        <v>19.3</v>
      </c>
      <c r="D12" s="16"/>
      <c r="F12" s="16"/>
    </row>
    <row r="13" spans="1:6" ht="13.9" customHeight="1" x14ac:dyDescent="0.2">
      <c r="A13" s="20" t="s">
        <v>29</v>
      </c>
      <c r="B13" s="21">
        <v>8.4</v>
      </c>
      <c r="C13" s="20">
        <v>11.8</v>
      </c>
      <c r="D13" s="16"/>
    </row>
    <row r="14" spans="1:6" ht="13.9" customHeight="1" x14ac:dyDescent="0.2">
      <c r="A14" s="20" t="s">
        <v>30</v>
      </c>
      <c r="B14" s="21">
        <v>22.9</v>
      </c>
      <c r="C14" s="20">
        <v>28.6</v>
      </c>
      <c r="D14" s="16"/>
    </row>
    <row r="15" spans="1:6" ht="13.9" customHeight="1" x14ac:dyDescent="0.2">
      <c r="A15" s="20" t="s">
        <v>31</v>
      </c>
      <c r="B15" s="21">
        <v>10.4</v>
      </c>
      <c r="C15" s="20">
        <v>13.3</v>
      </c>
      <c r="D15" s="16"/>
    </row>
    <row r="16" spans="1:6" ht="13.9" customHeight="1" x14ac:dyDescent="0.2">
      <c r="A16" s="20" t="s">
        <v>32</v>
      </c>
      <c r="B16" s="21">
        <v>12.2</v>
      </c>
      <c r="C16" s="20">
        <v>15.6</v>
      </c>
      <c r="D16" s="16"/>
    </row>
    <row r="17" spans="1:4" ht="13.9" customHeight="1" x14ac:dyDescent="0.2">
      <c r="A17" s="20" t="s">
        <v>33</v>
      </c>
      <c r="B17" s="21">
        <v>12.4</v>
      </c>
      <c r="C17" s="21">
        <v>16</v>
      </c>
      <c r="D17" s="16"/>
    </row>
    <row r="18" spans="1:4" ht="13.9" customHeight="1" x14ac:dyDescent="0.2">
      <c r="A18" s="20" t="s">
        <v>34</v>
      </c>
      <c r="B18" s="21">
        <v>14.1</v>
      </c>
      <c r="C18" s="20">
        <v>18.3</v>
      </c>
      <c r="D18" s="16"/>
    </row>
    <row r="19" spans="1:4" ht="13.9" customHeight="1" x14ac:dyDescent="0.2">
      <c r="A19" s="20" t="s">
        <v>35</v>
      </c>
      <c r="B19" s="21">
        <v>12.7</v>
      </c>
      <c r="C19" s="21">
        <v>17</v>
      </c>
      <c r="D19" s="16"/>
    </row>
    <row r="20" spans="1:4" ht="13.9" customHeight="1" x14ac:dyDescent="0.2">
      <c r="A20" s="20" t="s">
        <v>36</v>
      </c>
      <c r="B20" s="21">
        <v>12.1</v>
      </c>
      <c r="C20" s="20">
        <v>15.5</v>
      </c>
      <c r="D20" s="16"/>
    </row>
    <row r="21" spans="1:4" ht="13.9" customHeight="1" x14ac:dyDescent="0.2">
      <c r="A21" s="20" t="s">
        <v>37</v>
      </c>
      <c r="B21" s="21">
        <v>9.1</v>
      </c>
      <c r="C21" s="20">
        <v>11.7</v>
      </c>
      <c r="D21" s="16"/>
    </row>
    <row r="22" spans="1:4" ht="13.9" customHeight="1" x14ac:dyDescent="0.2">
      <c r="A22" s="20" t="s">
        <v>38</v>
      </c>
      <c r="B22" s="21">
        <v>11.5</v>
      </c>
      <c r="C22" s="20">
        <v>15.1</v>
      </c>
      <c r="D22" s="16"/>
    </row>
    <row r="23" spans="1:4" ht="13.9" customHeight="1" x14ac:dyDescent="0.2">
      <c r="A23" s="20" t="s">
        <v>39</v>
      </c>
      <c r="B23" s="21">
        <v>18.899999999999999</v>
      </c>
      <c r="C23" s="21">
        <v>24</v>
      </c>
      <c r="D23" s="16"/>
    </row>
    <row r="24" spans="1:4" ht="13.9" customHeight="1" x14ac:dyDescent="0.2">
      <c r="A24" s="20" t="s">
        <v>40</v>
      </c>
      <c r="B24" s="21">
        <v>14.9</v>
      </c>
      <c r="C24" s="20">
        <v>19.2</v>
      </c>
      <c r="D24" s="16"/>
    </row>
    <row r="25" spans="1:4" ht="13.9" customHeight="1" x14ac:dyDescent="0.2">
      <c r="A25" s="20" t="s">
        <v>41</v>
      </c>
      <c r="B25" s="21">
        <v>5.0999999999999996</v>
      </c>
      <c r="C25" s="21">
        <v>7</v>
      </c>
      <c r="D25" s="16"/>
    </row>
    <row r="26" spans="1:4" ht="13.9" customHeight="1" x14ac:dyDescent="0.2">
      <c r="A26" s="20" t="s">
        <v>42</v>
      </c>
      <c r="B26" s="21">
        <v>9.1</v>
      </c>
      <c r="C26" s="20">
        <v>12.4</v>
      </c>
      <c r="D26" s="16"/>
    </row>
    <row r="27" spans="1:4" ht="13.9" customHeight="1" x14ac:dyDescent="0.2">
      <c r="A27" s="20" t="s">
        <v>43</v>
      </c>
      <c r="B27" s="21">
        <v>15</v>
      </c>
      <c r="C27" s="20">
        <v>19.399999999999999</v>
      </c>
      <c r="D27" s="16"/>
    </row>
    <row r="28" spans="1:4" ht="13.9" customHeight="1" x14ac:dyDescent="0.2">
      <c r="A28" s="20" t="s">
        <v>44</v>
      </c>
      <c r="B28" s="21">
        <v>8.6</v>
      </c>
      <c r="C28" s="20">
        <v>11.1</v>
      </c>
      <c r="D28" s="16"/>
    </row>
    <row r="29" spans="1:4" ht="13.9" customHeight="1" x14ac:dyDescent="0.2">
      <c r="A29" s="20" t="s">
        <v>45</v>
      </c>
      <c r="B29" s="21">
        <v>11.3</v>
      </c>
      <c r="C29" s="20">
        <v>14.9</v>
      </c>
      <c r="D29" s="16"/>
    </row>
    <row r="30" spans="1:4" ht="13.9" customHeight="1" x14ac:dyDescent="0.2">
      <c r="A30" s="20" t="s">
        <v>46</v>
      </c>
      <c r="B30" s="21">
        <v>5.7</v>
      </c>
      <c r="C30" s="20">
        <v>7.7</v>
      </c>
      <c r="D30" s="16"/>
    </row>
    <row r="31" spans="1:4" ht="13.9" customHeight="1" x14ac:dyDescent="0.2">
      <c r="A31" s="20" t="s">
        <v>47</v>
      </c>
      <c r="B31" s="21">
        <v>5.7</v>
      </c>
      <c r="C31" s="20">
        <v>7.9</v>
      </c>
      <c r="D31" s="16"/>
    </row>
    <row r="32" spans="1:4" ht="13.9" customHeight="1" x14ac:dyDescent="0.2">
      <c r="A32" s="20" t="s">
        <v>48</v>
      </c>
      <c r="B32" s="22">
        <v>5</v>
      </c>
      <c r="C32" s="20">
        <v>6.9</v>
      </c>
      <c r="D32" s="16"/>
    </row>
    <row r="33" spans="1:4" ht="13.9" customHeight="1" x14ac:dyDescent="0.2">
      <c r="A33" s="20" t="s">
        <v>49</v>
      </c>
      <c r="B33" s="21">
        <v>9.9</v>
      </c>
      <c r="C33" s="20">
        <v>13.1</v>
      </c>
      <c r="D33" s="16"/>
    </row>
    <row r="34" spans="1:4" ht="13.9" customHeight="1" x14ac:dyDescent="0.2">
      <c r="A34" s="20" t="s">
        <v>50</v>
      </c>
      <c r="B34" s="21">
        <v>8.1</v>
      </c>
      <c r="C34" s="20">
        <v>10.6</v>
      </c>
      <c r="D34" s="16"/>
    </row>
    <row r="35" spans="1:4" ht="13.9" customHeight="1" x14ac:dyDescent="0.2">
      <c r="A35" s="20" t="s">
        <v>51</v>
      </c>
      <c r="B35" s="21">
        <v>16.8</v>
      </c>
      <c r="C35" s="20">
        <v>21.8</v>
      </c>
      <c r="D35" s="16"/>
    </row>
    <row r="36" spans="1:4" ht="13.9" customHeight="1" x14ac:dyDescent="0.2">
      <c r="A36" s="20" t="s">
        <v>52</v>
      </c>
      <c r="B36" s="21">
        <v>11.9</v>
      </c>
      <c r="C36" s="20">
        <v>15.1</v>
      </c>
      <c r="D36" s="16"/>
    </row>
    <row r="37" spans="1:4" ht="13.9" customHeight="1" x14ac:dyDescent="0.2">
      <c r="A37" s="20" t="s">
        <v>53</v>
      </c>
      <c r="B37" s="21">
        <v>21</v>
      </c>
      <c r="C37" s="20">
        <v>26.4</v>
      </c>
      <c r="D37" s="16"/>
    </row>
    <row r="38" spans="1:4" ht="13.9" customHeight="1" x14ac:dyDescent="0.2">
      <c r="A38" s="20" t="s">
        <v>54</v>
      </c>
      <c r="B38" s="21">
        <v>7.4</v>
      </c>
      <c r="C38" s="20">
        <v>9.6</v>
      </c>
      <c r="D38" s="16"/>
    </row>
    <row r="39" spans="1:4" ht="13.9" customHeight="1" x14ac:dyDescent="0.2">
      <c r="A39" s="20" t="s">
        <v>55</v>
      </c>
      <c r="B39" s="21">
        <v>9.5</v>
      </c>
      <c r="C39" s="20">
        <v>12.4</v>
      </c>
      <c r="D39" s="16"/>
    </row>
    <row r="40" spans="1:4" ht="13.9" customHeight="1" x14ac:dyDescent="0.2">
      <c r="A40" s="20" t="s">
        <v>56</v>
      </c>
      <c r="B40" s="21">
        <v>7.9</v>
      </c>
      <c r="C40" s="20">
        <v>10.4</v>
      </c>
      <c r="D40" s="16"/>
    </row>
    <row r="41" spans="1:4" ht="13.9" customHeight="1" x14ac:dyDescent="0.2">
      <c r="A41" s="20" t="s">
        <v>57</v>
      </c>
      <c r="B41" s="21">
        <v>10.9</v>
      </c>
      <c r="C41" s="20">
        <v>14.5</v>
      </c>
      <c r="D41" s="16"/>
    </row>
    <row r="42" spans="1:4" ht="13.9" customHeight="1" x14ac:dyDescent="0.2">
      <c r="A42" s="20" t="s">
        <v>58</v>
      </c>
      <c r="B42" s="21">
        <v>4.7</v>
      </c>
      <c r="C42" s="20">
        <v>6.4</v>
      </c>
      <c r="D42" s="16"/>
    </row>
    <row r="43" spans="1:4" ht="13.9" customHeight="1" x14ac:dyDescent="0.2">
      <c r="A43" s="20" t="s">
        <v>59</v>
      </c>
      <c r="B43" s="21">
        <v>6.5</v>
      </c>
      <c r="C43" s="20">
        <v>8.5</v>
      </c>
      <c r="D43" s="16"/>
    </row>
    <row r="44" spans="1:4" ht="13.9" customHeight="1" x14ac:dyDescent="0.2">
      <c r="A44" s="20" t="s">
        <v>60</v>
      </c>
      <c r="B44" s="21">
        <v>3.7</v>
      </c>
      <c r="C44" s="21">
        <v>5</v>
      </c>
      <c r="D44" s="16"/>
    </row>
    <row r="45" spans="1:4" ht="13.9" customHeight="1" x14ac:dyDescent="0.2">
      <c r="A45" s="20" t="s">
        <v>61</v>
      </c>
      <c r="B45" s="21">
        <v>3.8</v>
      </c>
      <c r="C45" s="20">
        <v>5.0999999999999996</v>
      </c>
      <c r="D45" s="16"/>
    </row>
    <row r="46" spans="1:4" ht="13.9" customHeight="1" x14ac:dyDescent="0.2">
      <c r="A46" s="20" t="s">
        <v>62</v>
      </c>
      <c r="B46" s="21">
        <v>5.6</v>
      </c>
      <c r="C46" s="20">
        <v>7.6</v>
      </c>
      <c r="D46" s="16"/>
    </row>
    <row r="47" spans="1:4" ht="13.9" customHeight="1" x14ac:dyDescent="0.2">
      <c r="A47" s="20" t="s">
        <v>63</v>
      </c>
      <c r="B47" s="21">
        <v>5.8</v>
      </c>
      <c r="C47" s="20">
        <v>7.9</v>
      </c>
      <c r="D47" s="16"/>
    </row>
    <row r="48" spans="1:4" ht="13.9" customHeight="1" x14ac:dyDescent="0.2">
      <c r="A48" s="20" t="s">
        <v>64</v>
      </c>
      <c r="B48" s="21">
        <v>4.5999999999999996</v>
      </c>
      <c r="C48" s="20">
        <v>6.2</v>
      </c>
      <c r="D48" s="16"/>
    </row>
    <row r="49" spans="1:4" ht="13.9" customHeight="1" x14ac:dyDescent="0.2">
      <c r="A49" s="20" t="s">
        <v>65</v>
      </c>
      <c r="B49" s="21">
        <v>8.3000000000000007</v>
      </c>
      <c r="C49" s="20">
        <v>10.6</v>
      </c>
      <c r="D49" s="16"/>
    </row>
    <row r="50" spans="1:4" ht="13.9" customHeight="1" x14ac:dyDescent="0.2">
      <c r="A50" s="20" t="s">
        <v>66</v>
      </c>
      <c r="B50" s="21">
        <v>16.3</v>
      </c>
      <c r="C50" s="20">
        <v>20.8</v>
      </c>
      <c r="D50" s="16"/>
    </row>
    <row r="51" spans="1:4" ht="13.9" customHeight="1" x14ac:dyDescent="0.2">
      <c r="A51" s="20" t="s">
        <v>67</v>
      </c>
      <c r="B51" s="21">
        <v>5.0999999999999996</v>
      </c>
      <c r="C51" s="21">
        <v>7</v>
      </c>
      <c r="D51" s="16"/>
    </row>
    <row r="52" spans="1:4" ht="13.9" customHeight="1" x14ac:dyDescent="0.2">
      <c r="A52" s="20" t="s">
        <v>68</v>
      </c>
      <c r="B52" s="21">
        <v>7.1</v>
      </c>
      <c r="C52" s="20">
        <v>9.3000000000000007</v>
      </c>
      <c r="D52" s="16"/>
    </row>
    <row r="53" spans="1:4" ht="13.9" customHeight="1" x14ac:dyDescent="0.2">
      <c r="A53" s="20" t="s">
        <v>69</v>
      </c>
      <c r="B53" s="21">
        <v>15</v>
      </c>
      <c r="C53" s="20">
        <v>19.3</v>
      </c>
      <c r="D53" s="16"/>
    </row>
    <row r="54" spans="1:4" ht="13.9" customHeight="1" x14ac:dyDescent="0.2">
      <c r="A54" s="20" t="s">
        <v>70</v>
      </c>
      <c r="B54" s="21">
        <v>8.1</v>
      </c>
      <c r="C54" s="20">
        <v>11.1</v>
      </c>
      <c r="D54" s="16"/>
    </row>
    <row r="55" spans="1:4" ht="13.9" customHeight="1" x14ac:dyDescent="0.2">
      <c r="A55" s="16" t="s">
        <v>71</v>
      </c>
      <c r="B55" s="21">
        <v>15.2</v>
      </c>
      <c r="C55" s="20">
        <v>18.399999999999999</v>
      </c>
      <c r="D55" s="16"/>
    </row>
    <row r="56" spans="1:4" ht="13.9" customHeight="1" x14ac:dyDescent="0.2">
      <c r="A56" s="16" t="s">
        <v>72</v>
      </c>
      <c r="B56" s="21">
        <v>10.7</v>
      </c>
      <c r="C56" s="20">
        <v>13.7</v>
      </c>
      <c r="D56" s="16"/>
    </row>
    <row r="57" spans="1:4" ht="13.9" customHeight="1" x14ac:dyDescent="0.2">
      <c r="A57" s="16" t="s">
        <v>73</v>
      </c>
      <c r="B57" s="21">
        <v>8.5</v>
      </c>
      <c r="C57" s="20">
        <v>10.7</v>
      </c>
      <c r="D57" s="16"/>
    </row>
    <row r="58" spans="1:4" ht="13.9" customHeight="1" x14ac:dyDescent="0.2">
      <c r="A58" s="16" t="s">
        <v>74</v>
      </c>
      <c r="B58" s="21">
        <v>10.4</v>
      </c>
      <c r="C58" s="20">
        <v>13.1</v>
      </c>
      <c r="D58" s="16"/>
    </row>
    <row r="59" spans="1:4" ht="13.9" customHeight="1" x14ac:dyDescent="0.2">
      <c r="A59" s="16" t="s">
        <v>75</v>
      </c>
      <c r="B59" s="21">
        <v>20.9</v>
      </c>
      <c r="C59" s="20">
        <v>25.9</v>
      </c>
      <c r="D59" s="16"/>
    </row>
    <row r="60" spans="1:4" ht="13.9" customHeight="1" x14ac:dyDescent="0.2">
      <c r="A60" s="16" t="s">
        <v>76</v>
      </c>
      <c r="B60" s="21">
        <v>36.9</v>
      </c>
      <c r="C60" s="20">
        <v>44.5</v>
      </c>
      <c r="D60" s="16"/>
    </row>
    <row r="61" spans="1:4" ht="13.9" customHeight="1" x14ac:dyDescent="0.2">
      <c r="A61" s="16" t="s">
        <v>77</v>
      </c>
      <c r="B61" s="21">
        <v>28</v>
      </c>
      <c r="C61" s="20">
        <v>34.5</v>
      </c>
      <c r="D61" s="16"/>
    </row>
    <row r="62" spans="1:4" ht="13.9" customHeight="1" x14ac:dyDescent="0.2">
      <c r="A62" s="16" t="s">
        <v>78</v>
      </c>
      <c r="B62" s="21">
        <v>28.4</v>
      </c>
      <c r="C62" s="20">
        <v>34.4</v>
      </c>
      <c r="D62" s="16"/>
    </row>
    <row r="63" spans="1:4" ht="13.9" customHeight="1" x14ac:dyDescent="0.2">
      <c r="A63" s="16" t="s">
        <v>79</v>
      </c>
      <c r="B63" s="21">
        <v>19.899999999999999</v>
      </c>
      <c r="C63" s="20">
        <v>24.6</v>
      </c>
      <c r="D63" s="16"/>
    </row>
    <row r="64" spans="1:4" ht="13.9" customHeight="1" x14ac:dyDescent="0.2">
      <c r="A64" s="16" t="s">
        <v>80</v>
      </c>
      <c r="B64" s="21">
        <v>11.9</v>
      </c>
      <c r="C64" s="20">
        <v>14.9</v>
      </c>
      <c r="D64" s="16"/>
    </row>
    <row r="65" spans="1:4" ht="13.9" customHeight="1" x14ac:dyDescent="0.2">
      <c r="A65" s="16" t="s">
        <v>81</v>
      </c>
      <c r="B65" s="21">
        <v>16.100000000000001</v>
      </c>
      <c r="C65" s="20">
        <v>20.399999999999999</v>
      </c>
      <c r="D65" s="16"/>
    </row>
    <row r="66" spans="1:4" ht="13.9" customHeight="1" x14ac:dyDescent="0.2">
      <c r="A66" s="23" t="s">
        <v>82</v>
      </c>
      <c r="B66" s="24">
        <v>20</v>
      </c>
      <c r="C66" s="5">
        <v>24.9</v>
      </c>
      <c r="D66" s="16"/>
    </row>
    <row r="67" spans="1:4" ht="13.9" customHeight="1" x14ac:dyDescent="0.2">
      <c r="A67" s="14" t="s">
        <v>83</v>
      </c>
    </row>
    <row r="68" spans="1:4" ht="13.9" customHeight="1" x14ac:dyDescent="0.2">
      <c r="A68" s="15" t="s">
        <v>15</v>
      </c>
      <c r="B68" s="16"/>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I30"/>
  <sheetViews>
    <sheetView zoomScaleNormal="100" workbookViewId="0"/>
  </sheetViews>
  <sheetFormatPr baseColWidth="10" defaultColWidth="11.5703125" defaultRowHeight="12.75" x14ac:dyDescent="0.2"/>
  <cols>
    <col min="1" max="1" width="31.28515625" style="3" customWidth="1"/>
    <col min="2" max="5" width="11.42578125" style="3"/>
    <col min="6" max="8" width="11.7109375" style="3" customWidth="1"/>
    <col min="9" max="1023" width="11.5703125" style="3"/>
  </cols>
  <sheetData>
    <row r="1" spans="1:8" x14ac:dyDescent="0.2">
      <c r="A1" s="25" t="s">
        <v>84</v>
      </c>
    </row>
    <row r="2" spans="1:8" x14ac:dyDescent="0.2">
      <c r="H2" s="4" t="s">
        <v>0</v>
      </c>
    </row>
    <row r="3" spans="1:8" x14ac:dyDescent="0.2">
      <c r="A3" s="2"/>
      <c r="B3" s="1" t="s">
        <v>14</v>
      </c>
      <c r="C3" s="1"/>
      <c r="D3" s="1"/>
      <c r="E3" s="1"/>
      <c r="F3" s="1" t="s">
        <v>85</v>
      </c>
      <c r="G3" s="1"/>
      <c r="H3" s="1"/>
    </row>
    <row r="4" spans="1:8" ht="51" x14ac:dyDescent="0.2">
      <c r="A4" s="2"/>
      <c r="B4" s="6" t="s">
        <v>86</v>
      </c>
      <c r="C4" s="6" t="s">
        <v>87</v>
      </c>
      <c r="D4" s="6" t="s">
        <v>88</v>
      </c>
      <c r="E4" s="6" t="s">
        <v>89</v>
      </c>
      <c r="F4" s="6" t="s">
        <v>90</v>
      </c>
      <c r="G4" s="6" t="s">
        <v>91</v>
      </c>
      <c r="H4" s="6" t="s">
        <v>92</v>
      </c>
    </row>
    <row r="5" spans="1:8" x14ac:dyDescent="0.2">
      <c r="A5" s="26" t="s">
        <v>93</v>
      </c>
      <c r="B5" s="27"/>
      <c r="C5" s="28"/>
      <c r="D5" s="20"/>
      <c r="E5" s="20"/>
      <c r="F5" s="28"/>
      <c r="G5" s="20"/>
      <c r="H5" s="20"/>
    </row>
    <row r="6" spans="1:8" x14ac:dyDescent="0.2">
      <c r="A6" s="20" t="s">
        <v>94</v>
      </c>
      <c r="B6" s="29">
        <v>13.5</v>
      </c>
      <c r="C6" s="29">
        <v>13.5</v>
      </c>
      <c r="D6" s="29">
        <v>15</v>
      </c>
      <c r="E6" s="30">
        <v>14.7</v>
      </c>
      <c r="F6" s="29">
        <v>20.9</v>
      </c>
      <c r="G6" s="29">
        <v>14.7</v>
      </c>
      <c r="H6" s="30">
        <v>15.6</v>
      </c>
    </row>
    <row r="7" spans="1:8" x14ac:dyDescent="0.2">
      <c r="A7" s="20" t="s">
        <v>95</v>
      </c>
      <c r="B7" s="29">
        <v>6.5</v>
      </c>
      <c r="C7" s="29">
        <v>7.1</v>
      </c>
      <c r="D7" s="29">
        <v>18</v>
      </c>
      <c r="E7" s="30">
        <v>15.8</v>
      </c>
      <c r="F7" s="29">
        <v>9.4</v>
      </c>
      <c r="G7" s="29">
        <v>25</v>
      </c>
      <c r="H7" s="30">
        <v>22.7</v>
      </c>
    </row>
    <row r="8" spans="1:8" x14ac:dyDescent="0.2">
      <c r="A8" s="20" t="s">
        <v>96</v>
      </c>
      <c r="B8" s="29">
        <v>41.3</v>
      </c>
      <c r="C8" s="29">
        <v>42.3</v>
      </c>
      <c r="D8" s="29">
        <v>46.5</v>
      </c>
      <c r="E8" s="30">
        <v>45.5</v>
      </c>
      <c r="F8" s="29">
        <v>38.9</v>
      </c>
      <c r="G8" s="29">
        <v>45.2</v>
      </c>
      <c r="H8" s="30">
        <v>44.4</v>
      </c>
    </row>
    <row r="9" spans="1:8" x14ac:dyDescent="0.2">
      <c r="A9" s="20" t="s">
        <v>97</v>
      </c>
      <c r="B9" s="29">
        <v>19.8</v>
      </c>
      <c r="C9" s="29">
        <v>19.3</v>
      </c>
      <c r="D9" s="29">
        <v>10.4</v>
      </c>
      <c r="E9" s="30">
        <v>12.2</v>
      </c>
      <c r="F9" s="29">
        <v>24.6</v>
      </c>
      <c r="G9" s="29">
        <v>9.3000000000000007</v>
      </c>
      <c r="H9" s="30">
        <v>11.5</v>
      </c>
    </row>
    <row r="10" spans="1:8" x14ac:dyDescent="0.2">
      <c r="A10" s="20" t="s">
        <v>98</v>
      </c>
      <c r="B10" s="29">
        <v>18.899999999999999</v>
      </c>
      <c r="C10" s="29">
        <v>17.8</v>
      </c>
      <c r="D10" s="29">
        <v>10.1</v>
      </c>
      <c r="E10" s="30">
        <v>11.8</v>
      </c>
      <c r="F10" s="29">
        <v>6.2</v>
      </c>
      <c r="G10" s="29">
        <v>5.8</v>
      </c>
      <c r="H10" s="30">
        <v>5.8</v>
      </c>
    </row>
    <row r="11" spans="1:8" x14ac:dyDescent="0.2">
      <c r="A11" s="31" t="s">
        <v>99</v>
      </c>
      <c r="B11" s="32">
        <v>100</v>
      </c>
      <c r="C11" s="32">
        <v>100</v>
      </c>
      <c r="D11" s="32">
        <v>100</v>
      </c>
      <c r="E11" s="32">
        <v>100</v>
      </c>
      <c r="F11" s="32">
        <v>100</v>
      </c>
      <c r="G11" s="32">
        <v>100</v>
      </c>
      <c r="H11" s="32">
        <v>100</v>
      </c>
    </row>
    <row r="12" spans="1:8" x14ac:dyDescent="0.2">
      <c r="A12" s="26" t="s">
        <v>100</v>
      </c>
      <c r="B12" s="33"/>
      <c r="C12" s="33"/>
      <c r="D12" s="4"/>
      <c r="E12" s="4"/>
      <c r="F12" s="33"/>
      <c r="G12" s="4"/>
      <c r="H12" s="4"/>
    </row>
    <row r="13" spans="1:8" x14ac:dyDescent="0.2">
      <c r="A13" s="20" t="s">
        <v>101</v>
      </c>
      <c r="B13" s="29">
        <v>17.8</v>
      </c>
      <c r="C13" s="29">
        <v>21.3</v>
      </c>
      <c r="D13" s="29">
        <v>57.8</v>
      </c>
      <c r="E13" s="30">
        <v>50.1</v>
      </c>
      <c r="F13" s="29">
        <v>29.4</v>
      </c>
      <c r="G13" s="29">
        <v>70.7</v>
      </c>
      <c r="H13" s="30">
        <v>64.8</v>
      </c>
    </row>
    <row r="14" spans="1:8" x14ac:dyDescent="0.2">
      <c r="A14" s="20" t="s">
        <v>102</v>
      </c>
      <c r="B14" s="29">
        <v>49.1</v>
      </c>
      <c r="C14" s="29">
        <v>52.5</v>
      </c>
      <c r="D14" s="29">
        <v>20</v>
      </c>
      <c r="E14" s="30">
        <v>25.9</v>
      </c>
      <c r="F14" s="29">
        <v>37.6</v>
      </c>
      <c r="G14" s="29">
        <v>9.9</v>
      </c>
      <c r="H14" s="30">
        <v>13.9</v>
      </c>
    </row>
    <row r="15" spans="1:8" x14ac:dyDescent="0.2">
      <c r="A15" s="20" t="s">
        <v>103</v>
      </c>
      <c r="B15" s="29">
        <v>33.1</v>
      </c>
      <c r="C15" s="29">
        <v>26.2</v>
      </c>
      <c r="D15" s="29">
        <v>22.2</v>
      </c>
      <c r="E15" s="30">
        <v>24</v>
      </c>
      <c r="F15" s="29">
        <v>33</v>
      </c>
      <c r="G15" s="29">
        <v>19.399999999999999</v>
      </c>
      <c r="H15" s="30">
        <v>21.3</v>
      </c>
    </row>
    <row r="16" spans="1:8" x14ac:dyDescent="0.2">
      <c r="A16" s="31" t="s">
        <v>99</v>
      </c>
      <c r="B16" s="32">
        <v>100</v>
      </c>
      <c r="C16" s="32">
        <v>100</v>
      </c>
      <c r="D16" s="32">
        <v>100</v>
      </c>
      <c r="E16" s="32">
        <v>100</v>
      </c>
      <c r="F16" s="32">
        <v>100</v>
      </c>
      <c r="G16" s="32">
        <v>100</v>
      </c>
      <c r="H16" s="32">
        <v>100</v>
      </c>
    </row>
    <row r="17" spans="1:8" x14ac:dyDescent="0.2">
      <c r="A17" s="26" t="s">
        <v>104</v>
      </c>
      <c r="B17" s="33"/>
      <c r="C17" s="34"/>
      <c r="D17" s="4"/>
      <c r="E17" s="4"/>
      <c r="F17" s="4"/>
      <c r="G17" s="4"/>
      <c r="H17" s="4"/>
    </row>
    <row r="18" spans="1:8" x14ac:dyDescent="0.2">
      <c r="A18" s="20" t="s">
        <v>105</v>
      </c>
      <c r="B18" s="29">
        <v>59.2</v>
      </c>
      <c r="C18" s="29">
        <v>73</v>
      </c>
      <c r="D18" s="29">
        <v>76.5</v>
      </c>
      <c r="E18" s="30">
        <v>73.8</v>
      </c>
      <c r="F18" s="29">
        <v>45.9</v>
      </c>
      <c r="G18" s="29">
        <v>65.3</v>
      </c>
      <c r="H18" s="30">
        <v>62.7</v>
      </c>
    </row>
    <row r="19" spans="1:8" x14ac:dyDescent="0.2">
      <c r="A19" s="20" t="s">
        <v>106</v>
      </c>
      <c r="B19" s="29">
        <v>11.2</v>
      </c>
      <c r="C19" s="29">
        <v>6.4</v>
      </c>
      <c r="D19" s="29">
        <v>1.4</v>
      </c>
      <c r="E19" s="30">
        <v>3.1</v>
      </c>
      <c r="F19" s="29">
        <v>11.9</v>
      </c>
      <c r="G19" s="29">
        <v>1.4</v>
      </c>
      <c r="H19" s="30">
        <v>2.9</v>
      </c>
    </row>
    <row r="20" spans="1:8" x14ac:dyDescent="0.2">
      <c r="A20" s="20" t="s">
        <v>107</v>
      </c>
      <c r="B20" s="29">
        <v>3.2</v>
      </c>
      <c r="C20" s="29">
        <v>1.7</v>
      </c>
      <c r="D20" s="29">
        <v>2.6</v>
      </c>
      <c r="E20" s="30">
        <v>2.6</v>
      </c>
      <c r="F20" s="29">
        <v>5</v>
      </c>
      <c r="G20" s="29">
        <v>3.8</v>
      </c>
      <c r="H20" s="30">
        <v>3.9</v>
      </c>
    </row>
    <row r="21" spans="1:8" x14ac:dyDescent="0.2">
      <c r="A21" s="20" t="s">
        <v>108</v>
      </c>
      <c r="B21" s="29">
        <v>14.6</v>
      </c>
      <c r="C21" s="29">
        <v>16.399999999999999</v>
      </c>
      <c r="D21" s="29">
        <v>17.8</v>
      </c>
      <c r="E21" s="30">
        <v>17.2</v>
      </c>
      <c r="F21" s="29">
        <v>22.9</v>
      </c>
      <c r="G21" s="29">
        <v>27.4</v>
      </c>
      <c r="H21" s="30">
        <v>26.7</v>
      </c>
    </row>
    <row r="22" spans="1:8" x14ac:dyDescent="0.2">
      <c r="A22" s="20" t="s">
        <v>109</v>
      </c>
      <c r="B22" s="29">
        <v>2.1</v>
      </c>
      <c r="C22" s="29">
        <v>0.8</v>
      </c>
      <c r="D22" s="29">
        <v>1.6</v>
      </c>
      <c r="E22" s="30">
        <v>1.6</v>
      </c>
      <c r="F22" s="29">
        <v>2.6</v>
      </c>
      <c r="G22" s="29">
        <v>1.8</v>
      </c>
      <c r="H22" s="30">
        <v>1.9</v>
      </c>
    </row>
    <row r="23" spans="1:8" x14ac:dyDescent="0.2">
      <c r="A23" s="20" t="s">
        <v>110</v>
      </c>
      <c r="B23" s="29">
        <v>9.6999999999999993</v>
      </c>
      <c r="C23" s="29">
        <v>1.7</v>
      </c>
      <c r="D23" s="29">
        <v>0.1</v>
      </c>
      <c r="E23" s="30">
        <v>1.7</v>
      </c>
      <c r="F23" s="29">
        <v>11.7</v>
      </c>
      <c r="G23" s="29">
        <v>0.3</v>
      </c>
      <c r="H23" s="30">
        <v>1.9</v>
      </c>
    </row>
    <row r="24" spans="1:8" x14ac:dyDescent="0.2">
      <c r="A24" s="31" t="s">
        <v>99</v>
      </c>
      <c r="B24" s="32">
        <v>100</v>
      </c>
      <c r="C24" s="32">
        <v>100</v>
      </c>
      <c r="D24" s="32">
        <v>100</v>
      </c>
      <c r="E24" s="32">
        <v>100</v>
      </c>
      <c r="F24" s="32">
        <v>100</v>
      </c>
      <c r="G24" s="32">
        <v>100</v>
      </c>
      <c r="H24" s="32">
        <v>100</v>
      </c>
    </row>
    <row r="25" spans="1:8" ht="25.5" x14ac:dyDescent="0.2">
      <c r="A25" s="35" t="s">
        <v>111</v>
      </c>
      <c r="B25" s="36">
        <v>36.5</v>
      </c>
      <c r="C25" s="36">
        <v>24.2</v>
      </c>
      <c r="D25" s="36">
        <v>2.9</v>
      </c>
      <c r="E25" s="37">
        <v>5</v>
      </c>
      <c r="F25" s="36">
        <v>38.9</v>
      </c>
      <c r="G25" s="36">
        <v>4.3</v>
      </c>
      <c r="H25" s="36">
        <v>6.3</v>
      </c>
    </row>
    <row r="26" spans="1:8" x14ac:dyDescent="0.2">
      <c r="A26" s="3" t="s">
        <v>112</v>
      </c>
    </row>
    <row r="27" spans="1:8" x14ac:dyDescent="0.2">
      <c r="A27" s="15" t="s">
        <v>15</v>
      </c>
    </row>
    <row r="28" spans="1:8" x14ac:dyDescent="0.2">
      <c r="A28" s="16"/>
    </row>
    <row r="30" spans="1:8" x14ac:dyDescent="0.2">
      <c r="F30" s="16"/>
      <c r="G30" s="16"/>
      <c r="H30" s="16"/>
    </row>
  </sheetData>
  <mergeCells count="3">
    <mergeCell ref="A3:A4"/>
    <mergeCell ref="B3:E3"/>
    <mergeCell ref="F3:H3"/>
  </mergeCells>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9"/>
  <sheetViews>
    <sheetView zoomScaleNormal="100" workbookViewId="0"/>
  </sheetViews>
  <sheetFormatPr baseColWidth="10" defaultColWidth="11.5703125" defaultRowHeight="12.75" x14ac:dyDescent="0.2"/>
  <cols>
    <col min="1" max="1" width="16.42578125" style="3" customWidth="1"/>
    <col min="2" max="2" width="11.5703125" style="3"/>
    <col min="3" max="3" width="13.28515625" style="3" customWidth="1"/>
    <col min="4" max="1024" width="11.5703125" style="3"/>
  </cols>
  <sheetData>
    <row r="1" spans="1:6" x14ac:dyDescent="0.2">
      <c r="A1" s="25" t="s">
        <v>113</v>
      </c>
    </row>
    <row r="2" spans="1:6" x14ac:dyDescent="0.2">
      <c r="C2" s="4" t="s">
        <v>0</v>
      </c>
    </row>
    <row r="3" spans="1:6" ht="38.25" x14ac:dyDescent="0.2">
      <c r="A3" s="5"/>
      <c r="B3" s="6" t="s">
        <v>114</v>
      </c>
      <c r="C3" s="6" t="s">
        <v>115</v>
      </c>
    </row>
    <row r="4" spans="1:6" x14ac:dyDescent="0.2">
      <c r="A4" s="38" t="s">
        <v>116</v>
      </c>
      <c r="B4" s="22">
        <v>7.7</v>
      </c>
      <c r="C4" s="22">
        <v>3</v>
      </c>
    </row>
    <row r="5" spans="1:6" x14ac:dyDescent="0.2">
      <c r="A5" s="38" t="s">
        <v>117</v>
      </c>
      <c r="B5" s="22">
        <v>11</v>
      </c>
      <c r="C5" s="22">
        <v>3</v>
      </c>
    </row>
    <row r="6" spans="1:6" x14ac:dyDescent="0.2">
      <c r="A6" s="38" t="s">
        <v>118</v>
      </c>
      <c r="B6" s="22">
        <v>13.1</v>
      </c>
      <c r="C6" s="22">
        <v>3.2</v>
      </c>
    </row>
    <row r="7" spans="1:6" x14ac:dyDescent="0.2">
      <c r="A7" s="38" t="s">
        <v>119</v>
      </c>
      <c r="B7" s="22">
        <v>14.9</v>
      </c>
      <c r="C7" s="22">
        <v>3.8</v>
      </c>
    </row>
    <row r="8" spans="1:6" x14ac:dyDescent="0.2">
      <c r="A8" s="38" t="s">
        <v>120</v>
      </c>
      <c r="B8" s="22">
        <v>13.7</v>
      </c>
      <c r="C8" s="22">
        <v>3.5</v>
      </c>
      <c r="D8"/>
      <c r="E8"/>
      <c r="F8"/>
    </row>
    <row r="9" spans="1:6" x14ac:dyDescent="0.2">
      <c r="A9" s="38" t="s">
        <v>121</v>
      </c>
      <c r="B9" s="22">
        <v>15.9</v>
      </c>
      <c r="C9" s="22">
        <v>3.7</v>
      </c>
      <c r="D9"/>
      <c r="E9"/>
      <c r="F9"/>
    </row>
    <row r="10" spans="1:6" x14ac:dyDescent="0.2">
      <c r="A10" s="39" t="s">
        <v>122</v>
      </c>
      <c r="B10" s="24">
        <v>22</v>
      </c>
      <c r="C10" s="24">
        <v>5.4</v>
      </c>
      <c r="D10"/>
      <c r="E10"/>
      <c r="F10"/>
    </row>
    <row r="11" spans="1:6" x14ac:dyDescent="0.2">
      <c r="A11" s="40" t="s">
        <v>123</v>
      </c>
      <c r="B11" s="41"/>
      <c r="C11" s="41"/>
    </row>
    <row r="12" spans="1:6" x14ac:dyDescent="0.2">
      <c r="A12" s="42" t="s">
        <v>124</v>
      </c>
      <c r="B12" s="41"/>
      <c r="C12" s="41"/>
    </row>
    <row r="13" spans="1:6" x14ac:dyDescent="0.2">
      <c r="A13" s="40"/>
      <c r="B13" s="41"/>
      <c r="C13" s="41"/>
    </row>
    <row r="14" spans="1:6" x14ac:dyDescent="0.2">
      <c r="A14" s="40"/>
      <c r="B14" s="41"/>
      <c r="C14" s="41"/>
    </row>
    <row r="15" spans="1:6" x14ac:dyDescent="0.2">
      <c r="A15" s="40"/>
      <c r="B15" s="41"/>
      <c r="C15" s="41"/>
    </row>
    <row r="16" spans="1:6" x14ac:dyDescent="0.2">
      <c r="A16" s="40"/>
      <c r="B16" s="41"/>
      <c r="C16" s="41"/>
    </row>
    <row r="17" spans="1:6" x14ac:dyDescent="0.2">
      <c r="A17" s="40"/>
      <c r="B17" s="41"/>
      <c r="C17" s="41"/>
    </row>
    <row r="18" spans="1:6" x14ac:dyDescent="0.2">
      <c r="A18" s="40"/>
      <c r="B18" s="41"/>
      <c r="C18" s="41"/>
    </row>
    <row r="19" spans="1:6" x14ac:dyDescent="0.2">
      <c r="A19" s="40"/>
      <c r="B19" s="41"/>
      <c r="C19" s="41"/>
    </row>
    <row r="20" spans="1:6" x14ac:dyDescent="0.2">
      <c r="A20" s="40"/>
      <c r="B20" s="41"/>
      <c r="C20" s="41"/>
    </row>
    <row r="21" spans="1:6" x14ac:dyDescent="0.2">
      <c r="A21" s="40"/>
      <c r="B21" s="41"/>
      <c r="C21" s="41"/>
    </row>
    <row r="22" spans="1:6" x14ac:dyDescent="0.2">
      <c r="A22" s="40"/>
      <c r="B22" s="41"/>
      <c r="C22" s="41"/>
    </row>
    <row r="23" spans="1:6" x14ac:dyDescent="0.2">
      <c r="A23" s="40"/>
      <c r="B23" s="41"/>
      <c r="C23" s="41"/>
    </row>
    <row r="24" spans="1:6" x14ac:dyDescent="0.2">
      <c r="A24" s="40"/>
      <c r="B24" s="41"/>
      <c r="C24" s="41"/>
    </row>
    <row r="25" spans="1:6" x14ac:dyDescent="0.2">
      <c r="A25" s="40"/>
      <c r="B25" s="41"/>
      <c r="C25" s="41"/>
    </row>
    <row r="26" spans="1:6" x14ac:dyDescent="0.2">
      <c r="A26" s="40"/>
      <c r="B26" s="41"/>
      <c r="C26" s="41"/>
    </row>
    <row r="27" spans="1:6" x14ac:dyDescent="0.2">
      <c r="A27" s="40"/>
      <c r="B27" s="41"/>
      <c r="C27" s="41"/>
      <c r="F27" s="16"/>
    </row>
    <row r="28" spans="1:6" x14ac:dyDescent="0.2">
      <c r="A28" s="40"/>
      <c r="B28" s="41"/>
      <c r="C28" s="41"/>
      <c r="F28" s="16"/>
    </row>
    <row r="29" spans="1:6" x14ac:dyDescent="0.2">
      <c r="F29" s="16"/>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
  <sheetViews>
    <sheetView zoomScaleNormal="100" workbookViewId="0"/>
  </sheetViews>
  <sheetFormatPr baseColWidth="10" defaultColWidth="11.5703125" defaultRowHeight="12.75" x14ac:dyDescent="0.2"/>
  <cols>
    <col min="1" max="1" width="87.28515625" style="43" customWidth="1"/>
    <col min="2" max="1024" width="11.5703125" style="16"/>
  </cols>
  <sheetData>
    <row r="1" spans="1:1" x14ac:dyDescent="0.2">
      <c r="A1" s="44" t="s">
        <v>125</v>
      </c>
    </row>
    <row r="2" spans="1:1" ht="89.25" x14ac:dyDescent="0.2">
      <c r="A2" s="43" t="s">
        <v>126</v>
      </c>
    </row>
    <row r="3" spans="1:1" ht="38.25" x14ac:dyDescent="0.2">
      <c r="A3" s="43" t="s">
        <v>127</v>
      </c>
    </row>
    <row r="5" spans="1:1" x14ac:dyDescent="0.2">
      <c r="A5" s="44" t="s">
        <v>128</v>
      </c>
    </row>
    <row r="6" spans="1:1" ht="51" x14ac:dyDescent="0.2">
      <c r="A6" s="43" t="s">
        <v>129</v>
      </c>
    </row>
    <row r="7" spans="1:1" ht="63.75" x14ac:dyDescent="0.2">
      <c r="A7" s="43" t="s">
        <v>130</v>
      </c>
    </row>
    <row r="8" spans="1:1" ht="63.75" x14ac:dyDescent="0.2">
      <c r="A8" s="43" t="s">
        <v>131</v>
      </c>
    </row>
    <row r="9" spans="1:1" ht="25.5" x14ac:dyDescent="0.2">
      <c r="A9" s="43" t="s">
        <v>132</v>
      </c>
    </row>
    <row r="10" spans="1:1" ht="25.5" x14ac:dyDescent="0.2">
      <c r="A10" s="43" t="s">
        <v>133</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935</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Figure 1</vt:lpstr>
      <vt:lpstr>Figure 2</vt:lpstr>
      <vt:lpstr>Figure 3</vt:lpstr>
      <vt:lpstr>Figure 4</vt:lpstr>
      <vt:lpstr>Documentation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Pierre Laurent</dc:creator>
  <dc:description/>
  <cp:lastModifiedBy>Dell</cp:lastModifiedBy>
  <cp:revision>56</cp:revision>
  <cp:lastPrinted>2021-11-16T10:03:21Z</cp:lastPrinted>
  <dcterms:created xsi:type="dcterms:W3CDTF">2021-09-28T09:53:55Z</dcterms:created>
  <dcterms:modified xsi:type="dcterms:W3CDTF">2024-04-20T16:50:39Z</dcterms:modified>
  <dc:language>fr-FR</dc:language>
</cp:coreProperties>
</file>